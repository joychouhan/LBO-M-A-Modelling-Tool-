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2"/>
  </bookViews>
  <sheets>
    <sheet name="Sheet1" sheetId="1" r:id="rId1"/>
    <sheet name="Sheet2" sheetId="2" r:id="rId2"/>
    <sheet name="Sheet3" sheetId="3" r:id="rId3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D11" i="3"/>
  <c r="C11" i="3"/>
  <c r="B11" i="3"/>
  <c r="B10" i="3"/>
  <c r="B5" i="3"/>
  <c r="B4" i="3"/>
  <c r="B26" i="2"/>
  <c r="B27" i="2" s="1"/>
  <c r="B20" i="2"/>
  <c r="B19" i="2"/>
  <c r="B21" i="2" s="1"/>
  <c r="B18" i="2"/>
  <c r="B22" i="2" s="1"/>
  <c r="B10" i="2"/>
  <c r="B13" i="2" s="1"/>
  <c r="B7" i="2"/>
  <c r="B3" i="2"/>
  <c r="B9" i="1"/>
  <c r="H9" i="1" s="1"/>
  <c r="C2" i="1"/>
  <c r="B6" i="1" s="1"/>
  <c r="B21" i="1" s="1"/>
  <c r="B5" i="1" l="1"/>
  <c r="D9" i="1" s="1"/>
  <c r="E9" i="1"/>
  <c r="I9" i="1" s="1"/>
  <c r="B12" i="2"/>
  <c r="B14" i="2" s="1"/>
  <c r="B33" i="2"/>
  <c r="B36" i="2"/>
  <c r="B32" i="2"/>
  <c r="B35" i="2"/>
  <c r="B34" i="2"/>
  <c r="F9" i="1"/>
  <c r="G9" i="1" s="1"/>
  <c r="D10" i="1" s="1"/>
  <c r="B10" i="1"/>
  <c r="E10" i="1" l="1"/>
  <c r="H10" i="1"/>
  <c r="B11" i="1"/>
  <c r="F10" i="1"/>
  <c r="G10" i="1" s="1"/>
  <c r="D11" i="1" s="1"/>
  <c r="B23" i="2"/>
  <c r="B12" i="3" s="1"/>
  <c r="B16" i="2"/>
  <c r="J9" i="1"/>
  <c r="I10" i="1" l="1"/>
  <c r="E11" i="1"/>
  <c r="H11" i="1"/>
  <c r="B12" i="1"/>
  <c r="F11" i="1"/>
  <c r="G11" i="1" s="1"/>
  <c r="D12" i="1" s="1"/>
  <c r="J10" i="1"/>
  <c r="E12" i="1" l="1"/>
  <c r="H12" i="1"/>
  <c r="I12" i="1" s="1"/>
  <c r="J12" i="1" s="1"/>
  <c r="B13" i="1"/>
  <c r="F12" i="1"/>
  <c r="G12" i="1" s="1"/>
  <c r="D13" i="1" s="1"/>
  <c r="I11" i="1"/>
  <c r="J11" i="1" s="1"/>
  <c r="E13" i="1" l="1"/>
  <c r="H13" i="1"/>
  <c r="I13" i="1" s="1"/>
  <c r="D16" i="1"/>
  <c r="F13" i="1"/>
  <c r="G13" i="1" s="1"/>
  <c r="B30" i="1" l="1"/>
  <c r="C28" i="1"/>
  <c r="C31" i="1"/>
  <c r="B28" i="1"/>
  <c r="B29" i="1"/>
  <c r="C29" i="1"/>
  <c r="B31" i="1"/>
  <c r="C32" i="1"/>
  <c r="C30" i="1"/>
  <c r="B32" i="1"/>
  <c r="J13" i="1"/>
  <c r="B18" i="1"/>
  <c r="B24" i="1" l="1"/>
  <c r="B7" i="3" s="1"/>
  <c r="G21" i="1"/>
  <c r="B23" i="1" s="1"/>
  <c r="B6" i="3" s="1"/>
</calcChain>
</file>

<file path=xl/sharedStrings.xml><?xml version="1.0" encoding="utf-8"?>
<sst xmlns="http://schemas.openxmlformats.org/spreadsheetml/2006/main" count="76" uniqueCount="67">
  <si>
    <t>EBITA</t>
  </si>
  <si>
    <t xml:space="preserve">Multiple </t>
  </si>
  <si>
    <t>Entry Valuation</t>
  </si>
  <si>
    <t>Assumptions</t>
  </si>
  <si>
    <t>EBITA Growth Rate</t>
  </si>
  <si>
    <t>Interest Rate on Debt</t>
  </si>
  <si>
    <t>Debt%</t>
  </si>
  <si>
    <t>Principal Sweep (% of EBITA, capped at debt)</t>
  </si>
  <si>
    <t xml:space="preserve">Debt Amonut </t>
  </si>
  <si>
    <t>Capex (% of EBITA)</t>
  </si>
  <si>
    <t xml:space="preserve">Equity Amount </t>
  </si>
  <si>
    <t>Tax Rate</t>
  </si>
  <si>
    <t>Year</t>
  </si>
  <si>
    <t>Beginning Debt</t>
  </si>
  <si>
    <t>Interest</t>
  </si>
  <si>
    <t>Principal Repayment</t>
  </si>
  <si>
    <t>Ending Debt</t>
  </si>
  <si>
    <t>Capex</t>
  </si>
  <si>
    <t>Tax</t>
  </si>
  <si>
    <t>FCF</t>
  </si>
  <si>
    <t xml:space="preserve">Exit Multiple </t>
  </si>
  <si>
    <t>Exit Enterprise Value</t>
  </si>
  <si>
    <t>Exit Equity Value</t>
  </si>
  <si>
    <t>Cash Flow</t>
  </si>
  <si>
    <t>IRR</t>
  </si>
  <si>
    <t>MOIC</t>
  </si>
  <si>
    <t>Accquier Net income</t>
  </si>
  <si>
    <t>Deal Financing &amp; Synergy Assumptions</t>
  </si>
  <si>
    <t>Accquier Shares</t>
  </si>
  <si>
    <t>Cash %</t>
  </si>
  <si>
    <t>Accquier EPS</t>
  </si>
  <si>
    <t>Stock %</t>
  </si>
  <si>
    <t>Debt %</t>
  </si>
  <si>
    <t>Target Net Income</t>
  </si>
  <si>
    <t>Check (Cash%+Stock%+Debt%, should = 100%)</t>
  </si>
  <si>
    <t>Target Shares</t>
  </si>
  <si>
    <t>Interest Rate on New Debt</t>
  </si>
  <si>
    <t>Target EPS</t>
  </si>
  <si>
    <t>Foregone Interest Rate on Cash Used</t>
  </si>
  <si>
    <t>Target Purchase Price</t>
  </si>
  <si>
    <t>Pre-Tax Annual Synergies</t>
  </si>
  <si>
    <t>Acquier Share Price</t>
  </si>
  <si>
    <t xml:space="preserve">New Shares Issused </t>
  </si>
  <si>
    <t>Transaction Fees (% of Deal Value, one-time)</t>
  </si>
  <si>
    <t>Pro Forma Net Income</t>
  </si>
  <si>
    <t>Pro Forma Shares</t>
  </si>
  <si>
    <t>Pro Forma EPS</t>
  </si>
  <si>
    <t>Accretive/Dilutive?</t>
  </si>
  <si>
    <t>Cash Used</t>
  </si>
  <si>
    <t>Debt Raised</t>
  </si>
  <si>
    <t>After-Tax Synergies</t>
  </si>
  <si>
    <t>After-Tax Interest Expense on New Debt</t>
  </si>
  <si>
    <t>After-Tax Foregone Interest on Cash Used</t>
  </si>
  <si>
    <t>Accretion / (Dilution) %</t>
  </si>
  <si>
    <t>One-Time Items (excluded from run-rate accretion/dilution above)</t>
  </si>
  <si>
    <t>Transaction Fees (Pre-Tax)</t>
  </si>
  <si>
    <t>Transaction Fees (After-Tax)</t>
  </si>
  <si>
    <t>Sensitivity: Accretion/(Dilution) % vs. Pre-Tax Synergies</t>
  </si>
  <si>
    <t>Pre-Tax Synergies</t>
  </si>
  <si>
    <t>Accretion/(Dilution) %</t>
  </si>
  <si>
    <t>Deal Summary Dashboard</t>
  </si>
  <si>
    <t>LBO Summary</t>
  </si>
  <si>
    <t>Entry Multiple</t>
  </si>
  <si>
    <t>Exit Multiple</t>
  </si>
  <si>
    <t>M&amp;A Summary</t>
  </si>
  <si>
    <t>Deal Value</t>
  </si>
  <si>
    <t>Financing Mix (Cash / Stock / Debt)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</si>
</sst>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\$#,##0;&quot;($&quot;#,##0\);\-"/>
    <numFmt numFmtId="165" formatCode="0.0\x"/>
    <numFmt numFmtId="166" formatCode="0.0%"/>
    <numFmt numFmtId="167" formatCode="#,##0;\(#,##0\);\-"/>
    <numFmt numFmtId="168" formatCode="\$#,##0.00;&quot;($&quot;#,##0.00\);\-"/>
  </numFmts>
  <fonts count="6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4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164" fontId="3" fillId="0" borderId="0" xfId="0" applyNumberFormat="1" applyFont="1" applyAlignment="1"/>
    <xf numFmtId="165" fontId="3" fillId="0" borderId="0" xfId="0" applyNumberFormat="1" applyFont="1" applyAlignment="1"/>
    <xf numFmtId="164" fontId="2" fillId="0" borderId="0" xfId="0" applyNumberFormat="1" applyFont="1" applyAlignment="1"/>
    <xf numFmtId="166" fontId="3" fillId="0" borderId="0" xfId="0" applyNumberFormat="1" applyFont="1" applyAlignment="1"/>
    <xf numFmtId="166" fontId="2" fillId="0" borderId="0" xfId="0" applyNumberFormat="1" applyFont="1" applyAlignment="1"/>
    <xf numFmtId="165" fontId="2" fillId="0" borderId="0" xfId="0" applyNumberFormat="1" applyFont="1" applyAlignment="1"/>
    <xf numFmtId="167" fontId="2" fillId="0" borderId="0" xfId="0" applyNumberFormat="1" applyFont="1" applyAlignment="1"/>
    <xf numFmtId="168" fontId="2" fillId="0" borderId="0" xfId="0" applyNumberFormat="1" applyFont="1" applyAlignment="1"/>
    <xf numFmtId="166" fontId="4" fillId="0" borderId="0" xfId="0" applyNumberFormat="1" applyFont="1" applyAlignment="1"/>
    <xf numFmtId="0" fontId="5" fillId="0" borderId="0" xfId="0" applyFont="1"/>
    <xf numFmtId="0" fontId="1" fillId="0" borderId="0" xfId="0" applyFon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zoomScaleNormal="100" workbookViewId="0">
      <selection activeCell="C2" sqref="C2"/>
    </sheetView>
  </sheetViews>
  <sheetFormatPr defaultColWidth="8.6640625" defaultRowHeight="14.4" x14ac:dyDescent="0.3"/>
  <cols>
    <col min="1" max="1" width="16.88671875" bestFit="1" customWidth="1"/>
    <col min="2" max="2" width="18.33203125" style="1" bestFit="1" customWidth="1"/>
    <col min="3" max="3" width="19.5546875" style="1" bestFit="1" customWidth="1"/>
    <col min="4" max="4" width="18" style="1" bestFit="1" customWidth="1"/>
    <col min="5" max="5" width="15.33203125" style="1" bestFit="1" customWidth="1"/>
    <col min="6" max="6" width="19.109375" style="1" bestFit="1" customWidth="1"/>
    <col min="7" max="7" width="18" style="1" bestFit="1" customWidth="1"/>
    <col min="8" max="9" width="15.33203125" style="1" bestFit="1" customWidth="1"/>
    <col min="10" max="10" width="16.88671875" style="1" bestFit="1" customWidth="1"/>
  </cols>
  <sheetData>
    <row r="1" spans="1:13" ht="14.25" customHeight="1" x14ac:dyDescent="0.3">
      <c r="A1" s="2" t="s">
        <v>0</v>
      </c>
      <c r="B1" s="2" t="s">
        <v>1</v>
      </c>
      <c r="C1" s="2" t="s">
        <v>2</v>
      </c>
      <c r="L1" s="3" t="s">
        <v>3</v>
      </c>
    </row>
    <row r="2" spans="1:13" ht="14.25" customHeight="1" x14ac:dyDescent="0.3">
      <c r="A2" s="4">
        <v>14594000000</v>
      </c>
      <c r="B2" s="5">
        <v>8</v>
      </c>
      <c r="C2" s="6">
        <f>A2*B2</f>
        <v>116752000000</v>
      </c>
      <c r="L2" s="1" t="s">
        <v>4</v>
      </c>
      <c r="M2" s="7">
        <v>0.08</v>
      </c>
    </row>
    <row r="3" spans="1:13" ht="14.25" customHeight="1" x14ac:dyDescent="0.3">
      <c r="L3" s="1" t="s">
        <v>5</v>
      </c>
      <c r="M3" s="7">
        <v>0.08</v>
      </c>
    </row>
    <row r="4" spans="1:13" ht="14.25" customHeight="1" x14ac:dyDescent="0.3">
      <c r="A4" s="2" t="s">
        <v>6</v>
      </c>
      <c r="B4" s="7">
        <v>0.65</v>
      </c>
      <c r="L4" s="1" t="s">
        <v>7</v>
      </c>
      <c r="M4" s="7">
        <v>0.2</v>
      </c>
    </row>
    <row r="5" spans="1:13" ht="14.25" customHeight="1" x14ac:dyDescent="0.3">
      <c r="A5" s="2" t="s">
        <v>8</v>
      </c>
      <c r="B5" s="6">
        <f>C2*B4</f>
        <v>75888800000</v>
      </c>
      <c r="L5" s="1" t="s">
        <v>9</v>
      </c>
      <c r="M5" s="7">
        <v>0.05</v>
      </c>
    </row>
    <row r="6" spans="1:13" ht="14.25" customHeight="1" x14ac:dyDescent="0.3">
      <c r="A6" s="2" t="s">
        <v>10</v>
      </c>
      <c r="B6" s="6">
        <f>C2*(1-B4)</f>
        <v>40863200000</v>
      </c>
      <c r="L6" s="1" t="s">
        <v>11</v>
      </c>
      <c r="M6" s="7">
        <v>0.25</v>
      </c>
    </row>
    <row r="8" spans="1:13" ht="14.25" customHeight="1" x14ac:dyDescent="0.3">
      <c r="A8" s="2" t="s">
        <v>12</v>
      </c>
      <c r="B8" s="2" t="s">
        <v>0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3" ht="14.25" customHeight="1" x14ac:dyDescent="0.3">
      <c r="A9" s="3">
        <v>1</v>
      </c>
      <c r="B9" s="3">
        <f>A2*(1+$M$2)</f>
        <v>15761520000.000002</v>
      </c>
      <c r="D9" s="6">
        <f>B5</f>
        <v>75888800000</v>
      </c>
      <c r="E9" s="6">
        <f>D9*$M$3</f>
        <v>6071104000</v>
      </c>
      <c r="F9" s="6">
        <f>MIN(B9*$M$4,D9)</f>
        <v>3152304000.0000005</v>
      </c>
      <c r="G9" s="6">
        <f>D9-F9</f>
        <v>72736496000</v>
      </c>
      <c r="H9" s="6">
        <f>B9*$M$5</f>
        <v>788076000.00000012</v>
      </c>
      <c r="I9" s="6">
        <f>(B9-H9-E9)*$M$6</f>
        <v>2225585000.0000005</v>
      </c>
      <c r="J9" s="6">
        <f>B9-H9-E9-I9</f>
        <v>6676755000.0000019</v>
      </c>
    </row>
    <row r="10" spans="1:13" ht="15" customHeight="1" x14ac:dyDescent="0.3">
      <c r="A10" s="3">
        <v>2</v>
      </c>
      <c r="B10" s="3">
        <f>B9*(1+$M$2)</f>
        <v>17022441600.000004</v>
      </c>
      <c r="D10" s="6">
        <f>G9</f>
        <v>72736496000</v>
      </c>
      <c r="E10" s="6">
        <f>D10*$M$3</f>
        <v>5818919680</v>
      </c>
      <c r="F10" s="6">
        <f>MIN(B10*$M$4,D10)</f>
        <v>3404488320.000001</v>
      </c>
      <c r="G10" s="6">
        <f>D10-F10</f>
        <v>69332007680</v>
      </c>
      <c r="H10" s="6">
        <f>B10*$M$5</f>
        <v>851122080.00000024</v>
      </c>
      <c r="I10" s="6">
        <f>(B10-H10-E10)*$M$6</f>
        <v>2588099960.000001</v>
      </c>
      <c r="J10" s="6">
        <f>B10-H10-E10-I10</f>
        <v>7764299880.0000029</v>
      </c>
    </row>
    <row r="11" spans="1:13" ht="14.25" customHeight="1" x14ac:dyDescent="0.3">
      <c r="A11" s="3">
        <v>3</v>
      </c>
      <c r="B11" s="3">
        <f>B10*(1+$M$2)</f>
        <v>18384236928.000004</v>
      </c>
      <c r="D11" s="6">
        <f>G10</f>
        <v>69332007680</v>
      </c>
      <c r="E11" s="6">
        <f>D11*$M$3</f>
        <v>5546560614.4000006</v>
      </c>
      <c r="F11" s="6">
        <f>MIN(B11*$M$4,D11)</f>
        <v>3676847385.6000009</v>
      </c>
      <c r="G11" s="6">
        <f>D11-F11</f>
        <v>65655160294.400002</v>
      </c>
      <c r="H11" s="6">
        <f>B11*$M$5</f>
        <v>919211846.40000021</v>
      </c>
      <c r="I11" s="6">
        <f>(B11-H11-E11)*$M$6</f>
        <v>2979616116.8000002</v>
      </c>
      <c r="J11" s="6">
        <f>B11-H11-E11-I11</f>
        <v>8938848350.4000015</v>
      </c>
    </row>
    <row r="12" spans="1:13" ht="14.25" customHeight="1" x14ac:dyDescent="0.3">
      <c r="A12" s="3">
        <v>4</v>
      </c>
      <c r="B12" s="3">
        <f>B11*(1+$M$2)</f>
        <v>19854975882.240005</v>
      </c>
      <c r="D12" s="6">
        <f>G11</f>
        <v>65655160294.400002</v>
      </c>
      <c r="E12" s="6">
        <f>D12*$M$3</f>
        <v>5252412823.552</v>
      </c>
      <c r="F12" s="6">
        <f>MIN(B12*$M$4,D12)</f>
        <v>3970995176.4480014</v>
      </c>
      <c r="G12" s="6">
        <f>D12-F12</f>
        <v>61684165117.952003</v>
      </c>
      <c r="H12" s="6">
        <f>B12*$M$5</f>
        <v>992748794.11200035</v>
      </c>
      <c r="I12" s="6">
        <f>(B12-H12-E12)*$M$6</f>
        <v>3402453566.1440015</v>
      </c>
      <c r="J12" s="6">
        <f>B12-H12-E12-I12</f>
        <v>10207360698.432005</v>
      </c>
    </row>
    <row r="13" spans="1:13" ht="14.25" customHeight="1" x14ac:dyDescent="0.3">
      <c r="A13" s="3">
        <v>5</v>
      </c>
      <c r="B13" s="3">
        <f>B12*(1+$M$2)</f>
        <v>21443373952.819206</v>
      </c>
      <c r="D13" s="6">
        <f>G12</f>
        <v>61684165117.952003</v>
      </c>
      <c r="E13" s="6">
        <f>D13*$M$3</f>
        <v>4934733209.4361601</v>
      </c>
      <c r="F13" s="6">
        <f>MIN(B13*$M$4,D13)</f>
        <v>4288674790.5638413</v>
      </c>
      <c r="G13" s="6">
        <f>D13-F13</f>
        <v>57395490327.388161</v>
      </c>
      <c r="H13" s="6">
        <f>B13*$M$5</f>
        <v>1072168697.6409603</v>
      </c>
      <c r="I13" s="6">
        <f>(B13-H13-E13)*$M$6</f>
        <v>3859118011.4355211</v>
      </c>
      <c r="J13" s="6">
        <f>B13-H13-E13-I13</f>
        <v>11577354034.306564</v>
      </c>
    </row>
    <row r="16" spans="1:13" ht="14.25" customHeight="1" x14ac:dyDescent="0.3">
      <c r="A16" s="2" t="s">
        <v>20</v>
      </c>
      <c r="B16" s="5">
        <v>8</v>
      </c>
      <c r="C16" s="2" t="s">
        <v>21</v>
      </c>
      <c r="D16" s="6">
        <f>B13*B16</f>
        <v>171546991622.55365</v>
      </c>
    </row>
    <row r="18" spans="1:7" ht="14.25" customHeight="1" x14ac:dyDescent="0.3">
      <c r="A18" s="2" t="s">
        <v>22</v>
      </c>
      <c r="B18" s="6">
        <f>D16-G13</f>
        <v>114151501295.1655</v>
      </c>
    </row>
    <row r="20" spans="1:7" ht="14.25" customHeight="1" x14ac:dyDescent="0.3">
      <c r="A20" s="2" t="s">
        <v>12</v>
      </c>
      <c r="B20" s="3">
        <v>0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</row>
    <row r="21" spans="1:7" ht="14.25" customHeight="1" x14ac:dyDescent="0.3">
      <c r="A21" s="2" t="s">
        <v>23</v>
      </c>
      <c r="B21" s="6">
        <f>-B6</f>
        <v>-40863200000</v>
      </c>
      <c r="C21" s="6">
        <v>0</v>
      </c>
      <c r="D21" s="6">
        <v>0</v>
      </c>
      <c r="E21" s="6">
        <v>0</v>
      </c>
      <c r="F21" s="6">
        <v>0</v>
      </c>
      <c r="G21" s="6">
        <f>B18</f>
        <v>114151501295.1655</v>
      </c>
    </row>
    <row r="23" spans="1:7" ht="14.25" customHeight="1" x14ac:dyDescent="0.3">
      <c r="A23" s="2" t="s">
        <v>24</v>
      </c>
      <c r="B23" s="8">
        <f>(G21/-B21)^(1/5)-1</f>
        <v>0.2280890267653628</v>
      </c>
    </row>
    <row r="24" spans="1:7" ht="14.25" customHeight="1" x14ac:dyDescent="0.3">
      <c r="A24" s="2" t="s">
        <v>25</v>
      </c>
      <c r="B24" s="9">
        <f>B18/B6</f>
        <v>2.7935037220571441</v>
      </c>
    </row>
    <row r="27" spans="1:7" ht="14.25" customHeight="1" x14ac:dyDescent="0.3">
      <c r="A27" s="2" t="s">
        <v>20</v>
      </c>
      <c r="B27" s="2" t="s">
        <v>24</v>
      </c>
      <c r="C27" s="2" t="s">
        <v>25</v>
      </c>
    </row>
    <row r="28" spans="1:7" ht="14.25" customHeight="1" x14ac:dyDescent="0.3">
      <c r="A28" s="9">
        <v>6</v>
      </c>
      <c r="B28" s="8">
        <f>((A28*$B$13-$G$13)/-$B$21)^(1/5)-1</f>
        <v>0.11765684604673265</v>
      </c>
      <c r="C28" s="9">
        <f>(A28*$B$13-$G$13)/-$B$21</f>
        <v>1.7439836672000006</v>
      </c>
    </row>
    <row r="29" spans="1:7" ht="14.25" customHeight="1" x14ac:dyDescent="0.3">
      <c r="A29" s="9">
        <v>7</v>
      </c>
      <c r="B29" s="8">
        <f>((A29*$B$13-$G$13)/-$B$21)^(1/5)-1</f>
        <v>0.17803199813124948</v>
      </c>
      <c r="C29" s="9">
        <f>(A29*$B$13-$G$13)/-$B$21</f>
        <v>2.2687436946285726</v>
      </c>
    </row>
    <row r="30" spans="1:7" ht="14.25" customHeight="1" x14ac:dyDescent="0.3">
      <c r="A30" s="9">
        <v>8</v>
      </c>
      <c r="B30" s="8">
        <f>((A30*$B$13-$G$13)/-$B$21)^(1/5)-1</f>
        <v>0.2280890267653628</v>
      </c>
      <c r="C30" s="9">
        <f>(A30*$B$13-$G$13)/-$B$21</f>
        <v>2.7935037220571441</v>
      </c>
    </row>
    <row r="31" spans="1:7" ht="14.25" customHeight="1" x14ac:dyDescent="0.3">
      <c r="A31" s="9">
        <v>9</v>
      </c>
      <c r="B31" s="8">
        <f>((A31*$B$13-$G$13)/-$B$21)^(1/5)-1</f>
        <v>0.27110720525551102</v>
      </c>
      <c r="C31" s="9">
        <f>(A31*$B$13-$G$13)/-$B$21</f>
        <v>3.3182637494857161</v>
      </c>
    </row>
    <row r="32" spans="1:7" ht="14.25" customHeight="1" x14ac:dyDescent="0.3">
      <c r="A32" s="9">
        <v>10</v>
      </c>
      <c r="B32" s="8">
        <f>((A32*$B$13-$G$13)/-$B$21)^(1/5)-1</f>
        <v>0.3089848324419926</v>
      </c>
      <c r="C32" s="9">
        <f>(A32*$B$13-$G$13)/-$B$21</f>
        <v>3.8430237769142876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B1" zoomScaleNormal="100" workbookViewId="0">
      <selection activeCell="G9" sqref="G9"/>
    </sheetView>
  </sheetViews>
  <sheetFormatPr defaultColWidth="8.6640625" defaultRowHeight="14.4" x14ac:dyDescent="0.3"/>
  <cols>
    <col min="1" max="1" width="59.21875" bestFit="1" customWidth="1"/>
    <col min="2" max="2" width="20.44140625" style="1" bestFit="1" customWidth="1"/>
    <col min="5" max="5" width="14.33203125" bestFit="1" customWidth="1"/>
  </cols>
  <sheetData>
    <row r="1" spans="1:5" ht="14.25" customHeight="1" x14ac:dyDescent="0.3">
      <c r="A1" s="2" t="s">
        <v>26</v>
      </c>
      <c r="B1" s="6">
        <v>61271000000</v>
      </c>
      <c r="D1" s="2" t="s">
        <v>27</v>
      </c>
    </row>
    <row r="2" spans="1:5" ht="14.25" customHeight="1" x14ac:dyDescent="0.3">
      <c r="A2" s="2" t="s">
        <v>28</v>
      </c>
      <c r="B2" s="10">
        <v>7608000000</v>
      </c>
      <c r="D2" s="1" t="s">
        <v>29</v>
      </c>
      <c r="E2" s="7">
        <v>1</v>
      </c>
    </row>
    <row r="3" spans="1:5" ht="14.25" customHeight="1" x14ac:dyDescent="0.3">
      <c r="A3" s="2" t="s">
        <v>30</v>
      </c>
      <c r="B3" s="11">
        <f>B1/B2</f>
        <v>8.0534963196635125</v>
      </c>
      <c r="D3" s="1" t="s">
        <v>31</v>
      </c>
      <c r="E3" s="7">
        <v>0</v>
      </c>
    </row>
    <row r="4" spans="1:5" ht="14.25" customHeight="1" x14ac:dyDescent="0.3">
      <c r="D4" s="1" t="s">
        <v>32</v>
      </c>
      <c r="E4" s="7">
        <v>0</v>
      </c>
    </row>
    <row r="5" spans="1:5" ht="14.25" customHeight="1" x14ac:dyDescent="0.3">
      <c r="A5" s="2" t="s">
        <v>33</v>
      </c>
      <c r="B5" s="6">
        <v>10000000000</v>
      </c>
      <c r="D5" s="1" t="s">
        <v>34</v>
      </c>
      <c r="E5" s="12">
        <f>E2+E3+E4</f>
        <v>1</v>
      </c>
    </row>
    <row r="6" spans="1:5" ht="14.25" customHeight="1" x14ac:dyDescent="0.3">
      <c r="A6" s="2" t="s">
        <v>35</v>
      </c>
      <c r="B6" s="10">
        <v>785000000</v>
      </c>
      <c r="D6" s="1" t="s">
        <v>36</v>
      </c>
      <c r="E6" s="7">
        <v>0.06</v>
      </c>
    </row>
    <row r="7" spans="1:5" ht="14.25" customHeight="1" x14ac:dyDescent="0.3">
      <c r="A7" s="2" t="s">
        <v>37</v>
      </c>
      <c r="B7" s="11">
        <f>B5/B6</f>
        <v>12.738853503184714</v>
      </c>
      <c r="D7" s="1" t="s">
        <v>38</v>
      </c>
      <c r="E7" s="7">
        <v>0.03</v>
      </c>
    </row>
    <row r="8" spans="1:5" ht="14.25" customHeight="1" x14ac:dyDescent="0.3">
      <c r="A8" s="2" t="s">
        <v>39</v>
      </c>
      <c r="B8" s="6">
        <v>68700000000</v>
      </c>
      <c r="D8" s="1" t="s">
        <v>40</v>
      </c>
      <c r="E8" s="4">
        <v>5000000000</v>
      </c>
    </row>
    <row r="9" spans="1:5" ht="14.25" customHeight="1" x14ac:dyDescent="0.3">
      <c r="A9" s="2" t="s">
        <v>41</v>
      </c>
      <c r="B9" s="11">
        <v>301</v>
      </c>
      <c r="D9" s="1" t="s">
        <v>11</v>
      </c>
      <c r="E9" s="7">
        <v>0.25</v>
      </c>
    </row>
    <row r="10" spans="1:5" ht="15" customHeight="1" x14ac:dyDescent="0.3">
      <c r="A10" s="2" t="s">
        <v>42</v>
      </c>
      <c r="B10" s="10">
        <f>(B8*$E$3)/B9</f>
        <v>0</v>
      </c>
      <c r="D10" s="1" t="s">
        <v>43</v>
      </c>
      <c r="E10" s="7">
        <v>0.02</v>
      </c>
    </row>
    <row r="12" spans="1:5" ht="14.25" customHeight="1" x14ac:dyDescent="0.3">
      <c r="A12" s="2" t="s">
        <v>44</v>
      </c>
      <c r="B12" s="6">
        <f>B1+B5+B20-B21-B22</f>
        <v>73475250000</v>
      </c>
    </row>
    <row r="13" spans="1:5" ht="14.25" customHeight="1" x14ac:dyDescent="0.3">
      <c r="A13" s="2" t="s">
        <v>45</v>
      </c>
      <c r="B13" s="10">
        <f>B2+B10</f>
        <v>7608000000</v>
      </c>
    </row>
    <row r="14" spans="1:5" ht="14.25" customHeight="1" x14ac:dyDescent="0.3">
      <c r="A14" s="2" t="s">
        <v>46</v>
      </c>
      <c r="B14" s="11">
        <f>B12/B13</f>
        <v>9.6576301261829656</v>
      </c>
    </row>
    <row r="16" spans="1:5" ht="14.25" customHeight="1" x14ac:dyDescent="0.3">
      <c r="A16" s="2" t="s">
        <v>47</v>
      </c>
      <c r="B16" s="3" t="str">
        <f>IF(B14&gt;B3,"Accretive","Dilutive")</f>
        <v>Accretive</v>
      </c>
    </row>
    <row r="18" spans="1:2" ht="14.25" customHeight="1" x14ac:dyDescent="0.3">
      <c r="A18" s="2" t="s">
        <v>48</v>
      </c>
      <c r="B18" s="6">
        <f>B8*$E$2</f>
        <v>68700000000</v>
      </c>
    </row>
    <row r="19" spans="1:2" ht="14.25" customHeight="1" x14ac:dyDescent="0.3">
      <c r="A19" s="2" t="s">
        <v>49</v>
      </c>
      <c r="B19" s="6">
        <f>B8*$E$4</f>
        <v>0</v>
      </c>
    </row>
    <row r="20" spans="1:2" ht="14.25" customHeight="1" x14ac:dyDescent="0.3">
      <c r="A20" s="2" t="s">
        <v>50</v>
      </c>
      <c r="B20" s="6">
        <f>$E$8*(1-$E$9)</f>
        <v>3750000000</v>
      </c>
    </row>
    <row r="21" spans="1:2" ht="14.25" customHeight="1" x14ac:dyDescent="0.3">
      <c r="A21" s="2" t="s">
        <v>51</v>
      </c>
      <c r="B21" s="6">
        <f>B19*$E$6*(1-$E$9)</f>
        <v>0</v>
      </c>
    </row>
    <row r="22" spans="1:2" ht="14.25" customHeight="1" x14ac:dyDescent="0.3">
      <c r="A22" s="2" t="s">
        <v>52</v>
      </c>
      <c r="B22" s="6">
        <f>B18*$E$7*(1-$E$9)</f>
        <v>1545750000</v>
      </c>
    </row>
    <row r="23" spans="1:2" ht="14.25" customHeight="1" x14ac:dyDescent="0.3">
      <c r="A23" s="2" t="s">
        <v>53</v>
      </c>
      <c r="B23" s="8">
        <f>(B14-B3)/B3</f>
        <v>0.19918476930358567</v>
      </c>
    </row>
    <row r="25" spans="1:2" ht="14.25" customHeight="1" x14ac:dyDescent="0.3">
      <c r="A25" s="2" t="s">
        <v>54</v>
      </c>
    </row>
    <row r="26" spans="1:2" ht="14.25" customHeight="1" x14ac:dyDescent="0.3">
      <c r="A26" s="2" t="s">
        <v>55</v>
      </c>
      <c r="B26" s="6">
        <f>B8*$E$10</f>
        <v>1374000000</v>
      </c>
    </row>
    <row r="27" spans="1:2" ht="14.25" customHeight="1" x14ac:dyDescent="0.3">
      <c r="A27" s="2" t="s">
        <v>56</v>
      </c>
      <c r="B27" s="6">
        <f>B26*(1-$E$9)</f>
        <v>1030500000</v>
      </c>
    </row>
    <row r="30" spans="1:2" ht="14.25" customHeight="1" x14ac:dyDescent="0.3">
      <c r="A30" s="2" t="s">
        <v>57</v>
      </c>
    </row>
    <row r="31" spans="1:2" ht="14.25" customHeight="1" x14ac:dyDescent="0.3">
      <c r="A31" s="2" t="s">
        <v>58</v>
      </c>
      <c r="B31" s="2" t="s">
        <v>59</v>
      </c>
    </row>
    <row r="32" spans="1:2" ht="14.25" customHeight="1" x14ac:dyDescent="0.3">
      <c r="A32" s="6">
        <v>0</v>
      </c>
      <c r="B32" s="8">
        <f>((B1+B5+A32*(1-$E$9)-$B$21-$B$22)/$B$13-$B$3)/$B$3</f>
        <v>0.13798126356677692</v>
      </c>
    </row>
    <row r="33" spans="1:2" ht="14.25" customHeight="1" x14ac:dyDescent="0.3">
      <c r="A33" s="6">
        <v>2500000000</v>
      </c>
      <c r="B33" s="8">
        <f>((B1+B5+A33*(1-$E$9)-$B$21-$B$22)/$B$13-$B$3)/$B$3</f>
        <v>0.16858301643518131</v>
      </c>
    </row>
    <row r="34" spans="1:2" ht="14.25" customHeight="1" x14ac:dyDescent="0.3">
      <c r="A34" s="6">
        <v>5000000000</v>
      </c>
      <c r="B34" s="8">
        <f>((B1+B5+A34*(1-$E$9)-$B$21-$B$22)/$B$13-$B$3)/$B$3</f>
        <v>0.19918476930358567</v>
      </c>
    </row>
    <row r="35" spans="1:2" ht="14.25" customHeight="1" x14ac:dyDescent="0.3">
      <c r="A35" s="6">
        <v>7500000000</v>
      </c>
      <c r="B35" s="8">
        <f>((B1+B5+A35*(1-$E$9)-$B$21-$B$22)/$B$13-$B$3)/$B$3</f>
        <v>0.22978652217199005</v>
      </c>
    </row>
    <row r="36" spans="1:2" ht="14.25" customHeight="1" x14ac:dyDescent="0.3">
      <c r="A36" s="6">
        <v>10000000000</v>
      </c>
      <c r="B36" s="8">
        <f>((B1+B5+A36*(1-$E$9)-$B$21-$B$22)/$B$13-$B$3)/$B$3</f>
        <v>0.26038827504039419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Normal="100" workbookViewId="0">
      <selection activeCell="B23" sqref="B23"/>
    </sheetView>
  </sheetViews>
  <sheetFormatPr defaultColWidth="8.6640625" defaultRowHeight="14.4" x14ac:dyDescent="0.3"/>
  <cols>
    <col min="1" max="1" width="32" customWidth="1"/>
    <col min="2" max="2" width="16.33203125" bestFit="1" customWidth="1"/>
    <col min="3" max="4" width="14" customWidth="1"/>
  </cols>
  <sheetData>
    <row r="1" spans="1:4" ht="17.399999999999999" x14ac:dyDescent="0.3">
      <c r="A1" s="13" t="s">
        <v>60</v>
      </c>
    </row>
    <row r="3" spans="1:4" x14ac:dyDescent="0.3">
      <c r="A3" s="14" t="s">
        <v>61</v>
      </c>
    </row>
    <row r="4" spans="1:4" x14ac:dyDescent="0.3">
      <c r="A4" s="15" t="s">
        <v>62</v>
      </c>
      <c r="B4" s="16">
        <f>Sheet1!B2</f>
        <v>8</v>
      </c>
    </row>
    <row r="5" spans="1:4" x14ac:dyDescent="0.3">
      <c r="A5" s="15" t="s">
        <v>63</v>
      </c>
      <c r="B5" s="16">
        <f>Sheet1!B16</f>
        <v>8</v>
      </c>
    </row>
    <row r="6" spans="1:4" x14ac:dyDescent="0.3">
      <c r="A6" s="15" t="s">
        <v>24</v>
      </c>
      <c r="B6" s="17">
        <f>Sheet1!B23</f>
        <v>0.2280890267653628</v>
      </c>
    </row>
    <row r="7" spans="1:4" x14ac:dyDescent="0.3">
      <c r="A7" s="15" t="s">
        <v>25</v>
      </c>
      <c r="B7" s="16">
        <f>Sheet1!B24</f>
        <v>2.7935037220571441</v>
      </c>
    </row>
    <row r="9" spans="1:4" x14ac:dyDescent="0.3">
      <c r="A9" s="14" t="s">
        <v>64</v>
      </c>
    </row>
    <row r="10" spans="1:4" x14ac:dyDescent="0.3">
      <c r="A10" s="15" t="s">
        <v>65</v>
      </c>
      <c r="B10" s="18">
        <f>Sheet2!B8</f>
        <v>68700000000</v>
      </c>
    </row>
    <row r="11" spans="1:4" x14ac:dyDescent="0.3">
      <c r="A11" s="15" t="s">
        <v>66</v>
      </c>
      <c r="B11" s="17">
        <f>Sheet2!E2</f>
        <v>1</v>
      </c>
      <c r="C11" s="17">
        <f>Sheet2!E3</f>
        <v>0</v>
      </c>
      <c r="D11" s="17">
        <f>Sheet2!E4</f>
        <v>0</v>
      </c>
    </row>
    <row r="12" spans="1:4" x14ac:dyDescent="0.3">
      <c r="A12" s="15" t="s">
        <v>53</v>
      </c>
      <c r="B12" s="17">
        <f>Sheet2!B23</f>
        <v>0.19918476930358567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radhey</cp:lastModifiedBy>
  <cp:revision>0</cp:revision>
  <dcterms:created xsi:type="dcterms:W3CDTF">2006-09-16T00:00:00Z</dcterms:created>
  <dcterms:modified xsi:type="dcterms:W3CDTF">2026-10-02T05:38:22Z</dcterms:modified>
  <dc:language>en-US</dc:language>
</cp:coreProperties>
</file>